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enha\Downloads\"/>
    </mc:Choice>
  </mc:AlternateContent>
  <xr:revisionPtr revIDLastSave="0" documentId="13_ncr:1_{A008A301-A662-4636-81AB-AFD424ABAEA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53 Chỉ số chất lượng" sheetId="1" r:id="rId1"/>
    <sheet name="Chỉ số bị loại (6)" sheetId="2" r:id="rId2"/>
    <sheet name="Thống kê theo nhóm" sheetId="3" r:id="rId3"/>
  </sheets>
  <definedNames>
    <definedName name="_xlnm._FilterDatabase" localSheetId="0" hidden="1">'53 Chỉ số chất lượng'!$A$3:$H$56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3" l="1"/>
</calcChain>
</file>

<file path=xl/sharedStrings.xml><?xml version="1.0" encoding="utf-8"?>
<sst xmlns="http://schemas.openxmlformats.org/spreadsheetml/2006/main" count="440" uniqueCount="225">
  <si>
    <t>STT</t>
  </si>
  <si>
    <t>Mã chỉ số (gốc)</t>
  </si>
  <si>
    <t>Tên chỉ số</t>
  </si>
  <si>
    <t>Khoa/Phòng thu thập &amp; tổng hợp</t>
  </si>
  <si>
    <t>Tần suất báo cáo</t>
  </si>
  <si>
    <t>Mục tiêu 2020</t>
  </si>
  <si>
    <t>Nhóm lĩnh vực</t>
  </si>
  <si>
    <t>Loại chỉ số</t>
  </si>
  <si>
    <t>CS01</t>
  </si>
  <si>
    <t>Tài chính - Kế toán</t>
  </si>
  <si>
    <t>Tháng</t>
  </si>
  <si>
    <t>100%</t>
  </si>
  <si>
    <t>Công nghệ thông tin</t>
  </si>
  <si>
    <t>Tỷ lệ (%)</t>
  </si>
  <si>
    <t>CS02</t>
  </si>
  <si>
    <t>CS03</t>
  </si>
  <si>
    <t>Vi tính hóa quản lý trang thiết bị y tế khối nội</t>
  </si>
  <si>
    <t>Vật tư, thiết bị y tế</t>
  </si>
  <si>
    <t>3 tháng</t>
  </si>
  <si>
    <t>100% TBYT khối Nội</t>
  </si>
  <si>
    <t>Số lượng</t>
  </si>
  <si>
    <t>CS04</t>
  </si>
  <si>
    <t>Chỉ đạo tuyến</t>
  </si>
  <si>
    <t>≥ 100 bác sĩ / buổi</t>
  </si>
  <si>
    <t>Năng lực chuyên môn</t>
  </si>
  <si>
    <t>CS05</t>
  </si>
  <si>
    <t>Tỷ lệ hồ sơ BHYT chuyển cổng giám định đúng thời gian</t>
  </si>
  <si>
    <t>&gt; 90%</t>
  </si>
  <si>
    <t>CS06</t>
  </si>
  <si>
    <t>Tỷ lệ BN đến khám tư vấn dinh dưỡng tại khoa Dinh dưỡng</t>
  </si>
  <si>
    <t>Dinh dưỡng</t>
  </si>
  <si>
    <t>Quý / 6T / 12T</t>
  </si>
  <si>
    <t>&gt; 50%</t>
  </si>
  <si>
    <t>CS07</t>
  </si>
  <si>
    <t>Dược</t>
  </si>
  <si>
    <t>Khi có / thường xuyên</t>
  </si>
  <si>
    <t>50 báo cáo / năm</t>
  </si>
  <si>
    <t>CS08</t>
  </si>
  <si>
    <t>Quý</t>
  </si>
  <si>
    <t>CS09</t>
  </si>
  <si>
    <t>Tỷ lệ NB hài lòng về giảm tiếng ồn / gọi tên bằng màn hình (&lt; 50 dB)</t>
  </si>
  <si>
    <t>Công tác xã hội</t>
  </si>
  <si>
    <t>Trước và sau thực hiện</t>
  </si>
  <si>
    <t>80% dùng hệ thống màn hình</t>
  </si>
  <si>
    <t>An toàn - Tiện nghi</t>
  </si>
  <si>
    <t>CS10</t>
  </si>
  <si>
    <t>CS11</t>
  </si>
  <si>
    <t>Thời gian khám bệnh trung bình của người bệnh</t>
  </si>
  <si>
    <t>Kế hoạch tổng hợp</t>
  </si>
  <si>
    <t>3 / 6 / 9 / 12 tháng</t>
  </si>
  <si>
    <t>45 phút</t>
  </si>
  <si>
    <t>Hiệu suất hoạt động</t>
  </si>
  <si>
    <t>Thời gian</t>
  </si>
  <si>
    <t>CS12</t>
  </si>
  <si>
    <t>Thời gian xử lý sự cố hệ thống mạng và máy chủ</t>
  </si>
  <si>
    <t>Ngày</t>
  </si>
  <si>
    <t>&lt; 60 phút</t>
  </si>
  <si>
    <t>CS13</t>
  </si>
  <si>
    <t>Cấp cứu</t>
  </si>
  <si>
    <t>6 tháng</t>
  </si>
  <si>
    <t>Tỷ lệ ĐD đạt &gt; 90%</t>
  </si>
  <si>
    <t>Điều dưỡng</t>
  </si>
  <si>
    <t>CS14</t>
  </si>
  <si>
    <t>6 lần / năm</t>
  </si>
  <si>
    <t>&gt; 50%, 6 lần tổ chức/năm</t>
  </si>
  <si>
    <t>CS15</t>
  </si>
  <si>
    <t>Tỷ lệ ĐD thực hiện định nhóm máu tại giường trước khi truyền máu</t>
  </si>
  <si>
    <t>CS16</t>
  </si>
  <si>
    <t>Tỷ lệ ĐD ghi chép đúng và đủ phần II 'Theo dõi truyền máu lâm sàng'</t>
  </si>
  <si>
    <t>CS17</t>
  </si>
  <si>
    <t>6 tháng / 12 tháng</t>
  </si>
  <si>
    <t>Đạt mục tiêu đầu ra</t>
  </si>
  <si>
    <t>CS18</t>
  </si>
  <si>
    <t>Hành chính quản trị</t>
  </si>
  <si>
    <t>80 buồng</t>
  </si>
  <si>
    <t>CS19</t>
  </si>
  <si>
    <t>05</t>
  </si>
  <si>
    <t>CS20</t>
  </si>
  <si>
    <t>Số lượng cầu thang bộ được dán dấu cản quang</t>
  </si>
  <si>
    <t>12</t>
  </si>
  <si>
    <t>CS21</t>
  </si>
  <si>
    <t>Số ca phẫu thuật</t>
  </si>
  <si>
    <t>Hằng tuần</t>
  </si>
  <si>
    <t>35.500 ca/năm</t>
  </si>
  <si>
    <t>CS22</t>
  </si>
  <si>
    <t>Tỷ lệ tuân thủ vệ sinh tay thường quy</t>
  </si>
  <si>
    <t>Kiểm soát nhiễm khuẩn</t>
  </si>
  <si>
    <t>70%</t>
  </si>
  <si>
    <t>CS23</t>
  </si>
  <si>
    <t>Tỷ suất mới mắc nhiễm khuẩn bệnh viện</t>
  </si>
  <si>
    <t>1 BN / 1000 ngày-NB</t>
  </si>
  <si>
    <t>Tỷ suất (‰)</t>
  </si>
  <si>
    <t>CS24</t>
  </si>
  <si>
    <t>Tỷ lệ hiện mắc viêm phổi bệnh viện</t>
  </si>
  <si>
    <t>1 lần / năm</t>
  </si>
  <si>
    <t>&lt; 30%</t>
  </si>
  <si>
    <t>CS25</t>
  </si>
  <si>
    <t>Tỷ lệ hiện mắc nhiễm khuẩn tiết niệu mắc phải ở bệnh viện</t>
  </si>
  <si>
    <t>&lt; 15%</t>
  </si>
  <si>
    <t>CS26</t>
  </si>
  <si>
    <t>Tỷ lệ hiện mắc nhiễm khuẩn vết mổ</t>
  </si>
  <si>
    <t>&lt; 10%</t>
  </si>
  <si>
    <t>CS27</t>
  </si>
  <si>
    <t>Tỷ lệ hiện mắc nhiễm khuẩn huyết bệnh viện</t>
  </si>
  <si>
    <t>&lt; 5%</t>
  </si>
  <si>
    <t>CS28</t>
  </si>
  <si>
    <t>Tỷ lệ hiện mắc nhiễm khuẩn da, mô mềm bệnh viện</t>
  </si>
  <si>
    <t>CS29</t>
  </si>
  <si>
    <t>Ngày / Quý</t>
  </si>
  <si>
    <t>CS30</t>
  </si>
  <si>
    <t>CS31</t>
  </si>
  <si>
    <t>CS32</t>
  </si>
  <si>
    <t>CS33</t>
  </si>
  <si>
    <t>Điều dưỡng (KSNK báo cáo vào)</t>
  </si>
  <si>
    <t>CS36</t>
  </si>
  <si>
    <t>Tỷ số</t>
  </si>
  <si>
    <t>CS37</t>
  </si>
  <si>
    <t>ĐD có CCHN &gt; 80%; chưa có &gt; 90%</t>
  </si>
  <si>
    <t>CS38</t>
  </si>
  <si>
    <t>CS39</t>
  </si>
  <si>
    <t>CS40</t>
  </si>
  <si>
    <t>12 tháng</t>
  </si>
  <si>
    <t>CS41</t>
  </si>
  <si>
    <t>Tỷ lệ phẫu thuật từ loại II trở lên</t>
  </si>
  <si>
    <t>CS43</t>
  </si>
  <si>
    <t>Thời gian nằm viện trung bình (tất cả các bệnh)</t>
  </si>
  <si>
    <t>CS44</t>
  </si>
  <si>
    <t>Công suất sử dụng giường bệnh thực tế</t>
  </si>
  <si>
    <t>CS45</t>
  </si>
  <si>
    <t>Hiệu suất sử dụng phòng mổ</t>
  </si>
  <si>
    <t>CS46</t>
  </si>
  <si>
    <t>Tỷ lệ tử vong và tiên lượng tử vong gia đình xin về (tất cả các bệnh)</t>
  </si>
  <si>
    <t>CS47</t>
  </si>
  <si>
    <t>CS48</t>
  </si>
  <si>
    <t>Số lượt khám bệnh</t>
  </si>
  <si>
    <t>Hằng ngày</t>
  </si>
  <si>
    <t>900.000 lượt/năm</t>
  </si>
  <si>
    <t>CS50</t>
  </si>
  <si>
    <t>Tỷ số Bác sĩ / giường bệnh của toàn bệnh viện</t>
  </si>
  <si>
    <t>Tổ chức cán bộ</t>
  </si>
  <si>
    <t>Hằng năm</t>
  </si>
  <si>
    <t>1/5</t>
  </si>
  <si>
    <t>Nhân lực</t>
  </si>
  <si>
    <t>CS51</t>
  </si>
  <si>
    <t>Tỷ số Bác sĩ / giường bệnh của từng khoa lâm sàng</t>
  </si>
  <si>
    <t>CS52</t>
  </si>
  <si>
    <t>Tỷ số Điều dưỡng / giường bệnh của toàn bệnh viện</t>
  </si>
  <si>
    <t>2/5</t>
  </si>
  <si>
    <t>CS53</t>
  </si>
  <si>
    <t>Tỷ số Điều dưỡng / giường bệnh của từng khoa lâm sàng</t>
  </si>
  <si>
    <t>CS54</t>
  </si>
  <si>
    <t>Tỷ số Bác sĩ / Điều dưỡng của toàn bệnh viện</t>
  </si>
  <si>
    <t>1/2</t>
  </si>
  <si>
    <t>CS55</t>
  </si>
  <si>
    <t>Tỷ số Bác sĩ / Điều dưỡng của từng khoa</t>
  </si>
  <si>
    <t>CS56</t>
  </si>
  <si>
    <t>Tỷ số Dược sĩ / giường bệnh của toàn bệnh viện</t>
  </si>
  <si>
    <t>1/30</t>
  </si>
  <si>
    <t>CS57</t>
  </si>
  <si>
    <t>Tỷ số Nhân viên dinh dưỡng / giường bệnh của toàn bệnh viện</t>
  </si>
  <si>
    <t>6 CHỈ SỐ BỊ LOẠI — LÝ DO CỤ THỂ TỪ FILE GỐC</t>
  </si>
  <si>
    <t>Số trong file gốc</t>
  </si>
  <si>
    <t>Khoa/Phòng</t>
  </si>
  <si>
    <t>Lý do loại bỏ</t>
  </si>
  <si>
    <t>Trùng với</t>
  </si>
  <si>
    <t>CS34 (số 34 trong file)</t>
  </si>
  <si>
    <t>File gốc tự ghi '- Lặp 3' — nội dung trùng hoàn toàn</t>
  </si>
  <si>
    <t>CS35 (số 35 trong file)</t>
  </si>
  <si>
    <t>File gốc tự ghi '- Lặp 4' — nội dung trùng hoàn toàn</t>
  </si>
  <si>
    <t>CS42 (số 42 trong file)</t>
  </si>
  <si>
    <t>File gốc tự ghi '- Lặp 1' — nội dung trùng hoàn toàn</t>
  </si>
  <si>
    <t>CS49 (số 49 trong file)</t>
  </si>
  <si>
    <t>File gốc tự ghi '- Lặp 2' — nội dung trùng hoàn toàn</t>
  </si>
  <si>
    <t>CS58 (số 58 trong file)</t>
  </si>
  <si>
    <t>Tỷ số Bác sĩ có chứng chỉ phẫu thuật nội soi / tổng số phẫu thuật viên</t>
  </si>
  <si>
    <t>TCCB / KHTH</t>
  </si>
  <si>
    <t>Chỉ số mở rộng ngoài bộ 53 được bệnh viện phê duyệt triển khai</t>
  </si>
  <si>
    <t>—</t>
  </si>
  <si>
    <t>CS59 (số 59 trong file)</t>
  </si>
  <si>
    <t>Tỷ lệ Bác sĩ có chứng chỉ tạo hình thẩm mỹ / tổng số phẫu thuật viên</t>
  </si>
  <si>
    <t>THỐNG KÊ 53 CHỈ SỐ THEO NHÓM LĨNH VỰC</t>
  </si>
  <si>
    <t>Số chỉ số</t>
  </si>
  <si>
    <t>Khoa/Phòng phụ trách chính</t>
  </si>
  <si>
    <t>Mã CS</t>
  </si>
  <si>
    <t>Phòng Điều dưỡng, Cấp cứu</t>
  </si>
  <si>
    <t>CS13, CS15, CS16, CS30, CS31, CS32, CS33, CS36, CS37, CS38, CS39</t>
  </si>
  <si>
    <t>CS11, CS21, CS43, CS44, CS45, CS46, CS47, CS48</t>
  </si>
  <si>
    <t>Khoa Kiểm soát nhiễm khuẩn</t>
  </si>
  <si>
    <t>CS22, CS23, CS24, CS25, CS26, CS27, CS28, CS29</t>
  </si>
  <si>
    <t>CS50, CS51, CS52, CS53, CS54, CS55, CS56, CS57</t>
  </si>
  <si>
    <t>TC-KT, CNTT, Vật tư TB</t>
  </si>
  <si>
    <t>CS01, CS02, CS03, CS05, CS12</t>
  </si>
  <si>
    <t>Khoa Dinh dưỡng</t>
  </si>
  <si>
    <t>CS06, CS08, CS10, CS14, CS17</t>
  </si>
  <si>
    <t>KHTH, Chỉ đạo tuyến</t>
  </si>
  <si>
    <t>CS04, CS40, CS41</t>
  </si>
  <si>
    <t>HCQT, Công tác xã hội</t>
  </si>
  <si>
    <t>CS09, CS18, CS19, CS20</t>
  </si>
  <si>
    <t>Khoa Dược</t>
  </si>
  <si>
    <t>TỔNG</t>
  </si>
  <si>
    <t>Tỷ lệ người bệnh được cung cấp hóa đơn ngay khi NB thanh toán viện phí trên kiosk</t>
  </si>
  <si>
    <t>Tỷ lệ người bệnh thanh toán viện phí trực tuyến bằng QR code</t>
  </si>
  <si>
    <t>Số lượng bác sĩ tham dự các buổi sinh hoạt chuyên đề, sinh hoạt khoa học kỹ thuật tại bệnh viện</t>
  </si>
  <si>
    <t>Số lượng báo cáo phản ứng có hại của thuốc gửi về khoa Dược</t>
  </si>
  <si>
    <t>Số lượng người bệnh nội trú được đánh giá tình trạng dinh dưỡng</t>
  </si>
  <si>
    <t>Số lượng người bệnh nội trú ăn suất ăn tại khoa Dinh dưỡng</t>
  </si>
  <si>
    <t>Điều dưỡng có kiến thức đánh giá phân loại thứ tự ưu tiên người bệnh vào khoa cấp cứu</t>
  </si>
  <si>
    <t>Số lượng người bệnh được truyền thông dinh dưỡng</t>
  </si>
  <si>
    <t>Tỷ lệ Điều dưỡng thực hiện định nhóm máu tại giường trước khi truyền máu</t>
  </si>
  <si>
    <t>Tỷ lệ Điều dưỡng khoa lâm sàng ghi chép đúng và đủ phần II "Theo dõi truyền máu lâm sàng" ở phiếu truyền máu</t>
  </si>
  <si>
    <t>Số lượng cán bộ y tế của bệnh viện được tập huấn truyền thông dinh dưỡng và đánh giá tình trạng dinh dưỡng</t>
  </si>
  <si>
    <t>Số lượng buồng vệ sinh người bệnh có trang thiết bị đầy đủ và sạch sẽ</t>
  </si>
  <si>
    <t>Số lượng các điểm tiếp nối vật lý để vận chuyển người bệnh</t>
  </si>
  <si>
    <t>Tỷ lệ đạt của các chỉ thị hóa học nhóm 5 (1243A) trong gói dụng cụ phẫu thuật sau khi tiệt khuẩn hơi nước</t>
  </si>
  <si>
    <t>Tỷ lệ Điều dưỡng tuân thủ quy trình kỹ thuật tiêm an toàn</t>
  </si>
  <si>
    <t>Tỷ lệ người bệnh loét do tì đè</t>
  </si>
  <si>
    <t>Tỷ lệ sự cố y khoa do dùng thuốc cho người bệnh</t>
  </si>
  <si>
    <t>Tỷ lệ người bệnh bị viêm phổi do ứ đọng</t>
  </si>
  <si>
    <t>Tỷ lệ Điều dưỡng chăm sóc trực tiếp / giường bệnh</t>
  </si>
  <si>
    <t>Tỷ lệ Điều dưỡng tham gia đào tạo liên tục</t>
  </si>
  <si>
    <t>Tỷ lệ công tác đi buồng của điều dưỡng trưởng khoa</t>
  </si>
  <si>
    <t>Tỷ lệ người bệnh được tư vấn giáo dục sức khỏe khi điều trị tại bệnh viện</t>
  </si>
  <si>
    <t>Tỷ lệ thực hiện kỹ thuật chuyên môn theo phân tuyến khám chữa bệnh</t>
  </si>
  <si>
    <t>Tỷ lệ chuyển sang bệnh viện khác khám chữa bệnh (tất cả các bệnh)</t>
  </si>
  <si>
    <t>BỘ 53 CHỈ SỐ CHẤT LƯỢNG — BỆNH VIỆN UNG BƯỚU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</si>
</sst>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i/>
      <sz val="9"/>
      <color rgb="FF444444"/>
      <name val="Arial"/>
    </font>
    <font>
      <b/>
      <sz val="10"/>
      <color rgb="FFFFFFFF"/>
      <name val="Arial"/>
    </font>
    <font>
      <b/>
      <sz val="10"/>
      <name val="Arial"/>
    </font>
    <font>
      <sz val="10"/>
      <name val="Arial"/>
    </font>
    <font>
      <b/>
      <sz val="12"/>
      <color rgb="FFFFFFFF"/>
      <name val="Arial"/>
    </font>
    <font>
      <b/>
      <sz val="11"/>
      <color rgb="FFFFFFFF"/>
      <name val="Arial"/>
    </font>
  </fonts>
  <fills count="1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AF0FB"/>
      </patternFill>
    </fill>
    <fill>
      <patternFill patternType="solid">
        <fgColor rgb="FFF4E6F4"/>
      </patternFill>
    </fill>
    <fill>
      <patternFill patternType="solid">
        <fgColor rgb="FFE2F0D9"/>
      </patternFill>
    </fill>
    <fill>
      <patternFill patternType="solid">
        <fgColor rgb="FFFDEBD0"/>
      </patternFill>
    </fill>
    <fill>
      <patternFill patternType="solid">
        <fgColor rgb="FFFFF9C4"/>
      </patternFill>
    </fill>
    <fill>
      <patternFill patternType="solid">
        <fgColor rgb="FFE8F5E9"/>
      </patternFill>
    </fill>
    <fill>
      <patternFill patternType="solid">
        <fgColor rgb="FFC00000"/>
      </patternFill>
    </fill>
    <fill>
      <patternFill patternType="solid">
        <fgColor rgb="FFFFF2F2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left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left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left" vertical="center" wrapText="1"/>
    </xf>
    <xf numFmtId="0" fontId="5" fillId="12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left" vertical="center" wrapText="1"/>
    </xf>
    <xf numFmtId="0" fontId="5" fillId="13" borderId="1" xfId="0" applyFont="1" applyFill="1" applyBorder="1" applyAlignment="1">
      <alignment horizontal="center" vertical="center" wrapText="1"/>
    </xf>
    <xf numFmtId="0" fontId="4" fillId="14" borderId="1" xfId="0" applyFont="1" applyFill="1" applyBorder="1" applyAlignment="1">
      <alignment horizontal="center" vertical="center" wrapText="1"/>
    </xf>
    <xf numFmtId="0" fontId="5" fillId="14" borderId="1" xfId="0" applyFont="1" applyFill="1" applyBorder="1" applyAlignment="1">
      <alignment horizontal="left" vertical="center" wrapText="1"/>
    </xf>
    <xf numFmtId="0" fontId="5" fillId="14" borderId="1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 wrapText="1"/>
    </xf>
    <xf numFmtId="0" fontId="5" fillId="16" borderId="1" xfId="0" applyFont="1" applyFill="1" applyBorder="1" applyAlignment="1">
      <alignment horizontal="center" vertical="center" wrapText="1"/>
    </xf>
    <xf numFmtId="0" fontId="5" fillId="16" borderId="1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left" vertical="center" wrapText="1"/>
    </xf>
    <xf numFmtId="0" fontId="4" fillId="12" borderId="1" xfId="0" applyFont="1" applyFill="1" applyBorder="1" applyAlignment="1">
      <alignment horizontal="left" vertical="center" wrapText="1"/>
    </xf>
    <xf numFmtId="0" fontId="4" fillId="1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11" borderId="1" xfId="0" applyFont="1" applyFill="1" applyBorder="1" applyAlignment="1">
      <alignment horizontal="left" vertical="center" wrapText="1"/>
    </xf>
    <xf numFmtId="0" fontId="4" fillId="13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6" fillId="15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6"/>
  <sheetViews>
    <sheetView tabSelected="1" workbookViewId="0">
      <pane ySplit="3" topLeftCell="A4" activePane="bottomLeft" state="frozen"/>
      <selection pane="bottomLeft" activeCell="I4" sqref="I4"/>
    </sheetView>
  </sheetViews>
  <sheetFormatPr defaultRowHeight="14.4" x14ac:dyDescent="0.3"/>
  <cols>
    <col min="1" max="1" width="5" customWidth="1"/>
    <col min="2" max="2" width="13" customWidth="1"/>
    <col min="3" max="3" width="60" customWidth="1"/>
    <col min="4" max="4" width="30" customWidth="1"/>
    <col min="5" max="5" width="20" customWidth="1"/>
    <col min="6" max="7" width="22" customWidth="1"/>
    <col min="8" max="8" width="14" customWidth="1"/>
  </cols>
  <sheetData>
    <row r="1" spans="1:8" ht="31.95" customHeight="1" x14ac:dyDescent="0.3">
      <c r="A1" s="47" t="s">
        <v>224</v>
      </c>
      <c r="B1" s="46"/>
      <c r="C1" s="46"/>
      <c r="D1" s="46"/>
      <c r="E1" s="46"/>
      <c r="F1" s="46"/>
      <c r="G1" s="46"/>
      <c r="H1" s="46"/>
    </row>
    <row r="2" spans="1:8" ht="28.05" customHeight="1" x14ac:dyDescent="0.3">
      <c r="A2" s="45"/>
      <c r="B2" s="46"/>
      <c r="C2" s="46"/>
      <c r="D2" s="46"/>
      <c r="E2" s="46"/>
      <c r="F2" s="46"/>
      <c r="G2" s="46"/>
      <c r="H2" s="46"/>
    </row>
    <row r="3" spans="1:8" ht="28.05" customHeight="1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</row>
    <row r="4" spans="1:8" ht="34.049999999999997" customHeight="1" x14ac:dyDescent="0.3">
      <c r="A4" s="2">
        <v>1</v>
      </c>
      <c r="B4" s="2" t="s">
        <v>8</v>
      </c>
      <c r="C4" s="3" t="s">
        <v>200</v>
      </c>
      <c r="D4" s="3" t="s">
        <v>9</v>
      </c>
      <c r="E4" s="4" t="s">
        <v>10</v>
      </c>
      <c r="F4" s="4" t="s">
        <v>11</v>
      </c>
      <c r="G4" s="3" t="s">
        <v>12</v>
      </c>
      <c r="H4" s="4" t="s">
        <v>13</v>
      </c>
    </row>
    <row r="5" spans="1:8" ht="34.049999999999997" customHeight="1" x14ac:dyDescent="0.3">
      <c r="A5" s="5">
        <v>2</v>
      </c>
      <c r="B5" s="5" t="s">
        <v>14</v>
      </c>
      <c r="C5" s="6" t="s">
        <v>201</v>
      </c>
      <c r="D5" s="6" t="s">
        <v>9</v>
      </c>
      <c r="E5" s="7" t="s">
        <v>10</v>
      </c>
      <c r="F5" s="7"/>
      <c r="G5" s="6" t="s">
        <v>12</v>
      </c>
      <c r="H5" s="7" t="s">
        <v>13</v>
      </c>
    </row>
    <row r="6" spans="1:8" ht="34.049999999999997" customHeight="1" x14ac:dyDescent="0.3">
      <c r="A6" s="2">
        <v>3</v>
      </c>
      <c r="B6" s="2" t="s">
        <v>15</v>
      </c>
      <c r="C6" s="3" t="s">
        <v>16</v>
      </c>
      <c r="D6" s="3" t="s">
        <v>17</v>
      </c>
      <c r="E6" s="4" t="s">
        <v>18</v>
      </c>
      <c r="F6" s="4" t="s">
        <v>19</v>
      </c>
      <c r="G6" s="3" t="s">
        <v>12</v>
      </c>
      <c r="H6" s="4" t="s">
        <v>20</v>
      </c>
    </row>
    <row r="7" spans="1:8" ht="34.049999999999997" customHeight="1" x14ac:dyDescent="0.3">
      <c r="A7" s="5">
        <v>4</v>
      </c>
      <c r="B7" s="5" t="s">
        <v>21</v>
      </c>
      <c r="C7" s="6" t="s">
        <v>202</v>
      </c>
      <c r="D7" s="6" t="s">
        <v>22</v>
      </c>
      <c r="E7" s="7" t="s">
        <v>18</v>
      </c>
      <c r="F7" s="7" t="s">
        <v>23</v>
      </c>
      <c r="G7" s="6" t="s">
        <v>24</v>
      </c>
      <c r="H7" s="7" t="s">
        <v>20</v>
      </c>
    </row>
    <row r="8" spans="1:8" ht="34.049999999999997" customHeight="1" x14ac:dyDescent="0.3">
      <c r="A8" s="2">
        <v>5</v>
      </c>
      <c r="B8" s="2" t="s">
        <v>25</v>
      </c>
      <c r="C8" s="3" t="s">
        <v>26</v>
      </c>
      <c r="D8" s="3" t="s">
        <v>12</v>
      </c>
      <c r="E8" s="4" t="s">
        <v>10</v>
      </c>
      <c r="F8" s="4" t="s">
        <v>27</v>
      </c>
      <c r="G8" s="3" t="s">
        <v>12</v>
      </c>
      <c r="H8" s="4" t="s">
        <v>13</v>
      </c>
    </row>
    <row r="9" spans="1:8" ht="34.049999999999997" customHeight="1" x14ac:dyDescent="0.3">
      <c r="A9" s="5">
        <v>6</v>
      </c>
      <c r="B9" s="5" t="s">
        <v>28</v>
      </c>
      <c r="C9" s="6" t="s">
        <v>29</v>
      </c>
      <c r="D9" s="6" t="s">
        <v>30</v>
      </c>
      <c r="E9" s="7" t="s">
        <v>31</v>
      </c>
      <c r="F9" s="7" t="s">
        <v>32</v>
      </c>
      <c r="G9" s="6" t="s">
        <v>30</v>
      </c>
      <c r="H9" s="7" t="s">
        <v>13</v>
      </c>
    </row>
    <row r="10" spans="1:8" ht="34.049999999999997" customHeight="1" x14ac:dyDescent="0.3">
      <c r="A10" s="8">
        <v>7</v>
      </c>
      <c r="B10" s="8" t="s">
        <v>33</v>
      </c>
      <c r="C10" s="9" t="s">
        <v>203</v>
      </c>
      <c r="D10" s="9" t="s">
        <v>34</v>
      </c>
      <c r="E10" s="10" t="s">
        <v>35</v>
      </c>
      <c r="F10" s="10" t="s">
        <v>36</v>
      </c>
      <c r="G10" s="9" t="s">
        <v>34</v>
      </c>
      <c r="H10" s="10" t="s">
        <v>20</v>
      </c>
    </row>
    <row r="11" spans="1:8" ht="34.049999999999997" customHeight="1" x14ac:dyDescent="0.3">
      <c r="A11" s="5">
        <v>8</v>
      </c>
      <c r="B11" s="5" t="s">
        <v>37</v>
      </c>
      <c r="C11" s="6" t="s">
        <v>204</v>
      </c>
      <c r="D11" s="6" t="s">
        <v>30</v>
      </c>
      <c r="E11" s="7" t="s">
        <v>38</v>
      </c>
      <c r="F11" s="7" t="s">
        <v>11</v>
      </c>
      <c r="G11" s="6" t="s">
        <v>30</v>
      </c>
      <c r="H11" s="7" t="s">
        <v>20</v>
      </c>
    </row>
    <row r="12" spans="1:8" ht="34.049999999999997" customHeight="1" x14ac:dyDescent="0.3">
      <c r="A12" s="11">
        <v>9</v>
      </c>
      <c r="B12" s="11" t="s">
        <v>39</v>
      </c>
      <c r="C12" s="12" t="s">
        <v>40</v>
      </c>
      <c r="D12" s="12" t="s">
        <v>41</v>
      </c>
      <c r="E12" s="13" t="s">
        <v>42</v>
      </c>
      <c r="F12" s="13" t="s">
        <v>43</v>
      </c>
      <c r="G12" s="12" t="s">
        <v>44</v>
      </c>
      <c r="H12" s="13" t="s">
        <v>13</v>
      </c>
    </row>
    <row r="13" spans="1:8" ht="34.049999999999997" customHeight="1" x14ac:dyDescent="0.3">
      <c r="A13" s="5">
        <v>10</v>
      </c>
      <c r="B13" s="5" t="s">
        <v>45</v>
      </c>
      <c r="C13" s="6" t="s">
        <v>205</v>
      </c>
      <c r="D13" s="6" t="s">
        <v>30</v>
      </c>
      <c r="E13" s="7" t="s">
        <v>38</v>
      </c>
      <c r="F13" s="7" t="s">
        <v>32</v>
      </c>
      <c r="G13" s="6" t="s">
        <v>30</v>
      </c>
      <c r="H13" s="7" t="s">
        <v>20</v>
      </c>
    </row>
    <row r="14" spans="1:8" ht="34.049999999999997" customHeight="1" x14ac:dyDescent="0.3">
      <c r="A14" s="14">
        <v>11</v>
      </c>
      <c r="B14" s="14" t="s">
        <v>46</v>
      </c>
      <c r="C14" s="15" t="s">
        <v>47</v>
      </c>
      <c r="D14" s="15" t="s">
        <v>48</v>
      </c>
      <c r="E14" s="16" t="s">
        <v>49</v>
      </c>
      <c r="F14" s="16" t="s">
        <v>50</v>
      </c>
      <c r="G14" s="15" t="s">
        <v>51</v>
      </c>
      <c r="H14" s="16" t="s">
        <v>52</v>
      </c>
    </row>
    <row r="15" spans="1:8" ht="34.049999999999997" customHeight="1" x14ac:dyDescent="0.3">
      <c r="A15" s="5">
        <v>12</v>
      </c>
      <c r="B15" s="5" t="s">
        <v>53</v>
      </c>
      <c r="C15" s="6" t="s">
        <v>54</v>
      </c>
      <c r="D15" s="6" t="s">
        <v>12</v>
      </c>
      <c r="E15" s="7" t="s">
        <v>55</v>
      </c>
      <c r="F15" s="7" t="s">
        <v>56</v>
      </c>
      <c r="G15" s="6" t="s">
        <v>12</v>
      </c>
      <c r="H15" s="7" t="s">
        <v>52</v>
      </c>
    </row>
    <row r="16" spans="1:8" ht="34.049999999999997" customHeight="1" x14ac:dyDescent="0.3">
      <c r="A16" s="17">
        <v>13</v>
      </c>
      <c r="B16" s="17" t="s">
        <v>57</v>
      </c>
      <c r="C16" s="18" t="s">
        <v>206</v>
      </c>
      <c r="D16" s="18" t="s">
        <v>58</v>
      </c>
      <c r="E16" s="19" t="s">
        <v>59</v>
      </c>
      <c r="F16" s="19" t="s">
        <v>60</v>
      </c>
      <c r="G16" s="18" t="s">
        <v>61</v>
      </c>
      <c r="H16" s="19" t="s">
        <v>13</v>
      </c>
    </row>
    <row r="17" spans="1:8" ht="34.049999999999997" customHeight="1" x14ac:dyDescent="0.3">
      <c r="A17" s="5">
        <v>14</v>
      </c>
      <c r="B17" s="5" t="s">
        <v>62</v>
      </c>
      <c r="C17" s="6" t="s">
        <v>207</v>
      </c>
      <c r="D17" s="6" t="s">
        <v>30</v>
      </c>
      <c r="E17" s="7" t="s">
        <v>63</v>
      </c>
      <c r="F17" s="7" t="s">
        <v>64</v>
      </c>
      <c r="G17" s="6" t="s">
        <v>30</v>
      </c>
      <c r="H17" s="7" t="s">
        <v>20</v>
      </c>
    </row>
    <row r="18" spans="1:8" ht="34.049999999999997" customHeight="1" x14ac:dyDescent="0.3">
      <c r="A18" s="17">
        <v>15</v>
      </c>
      <c r="B18" s="17" t="s">
        <v>65</v>
      </c>
      <c r="C18" s="18" t="s">
        <v>208</v>
      </c>
      <c r="D18" s="18" t="s">
        <v>61</v>
      </c>
      <c r="E18" s="19" t="s">
        <v>49</v>
      </c>
      <c r="F18" s="19" t="s">
        <v>11</v>
      </c>
      <c r="G18" s="18" t="s">
        <v>61</v>
      </c>
      <c r="H18" s="19" t="s">
        <v>13</v>
      </c>
    </row>
    <row r="19" spans="1:8" ht="34.049999999999997" customHeight="1" x14ac:dyDescent="0.3">
      <c r="A19" s="5">
        <v>16</v>
      </c>
      <c r="B19" s="5" t="s">
        <v>67</v>
      </c>
      <c r="C19" s="6" t="s">
        <v>209</v>
      </c>
      <c r="D19" s="6" t="s">
        <v>61</v>
      </c>
      <c r="E19" s="7" t="s">
        <v>49</v>
      </c>
      <c r="F19" s="7" t="s">
        <v>11</v>
      </c>
      <c r="G19" s="6" t="s">
        <v>61</v>
      </c>
      <c r="H19" s="7" t="s">
        <v>13</v>
      </c>
    </row>
    <row r="20" spans="1:8" ht="34.049999999999997" customHeight="1" x14ac:dyDescent="0.3">
      <c r="A20" s="20">
        <v>17</v>
      </c>
      <c r="B20" s="20" t="s">
        <v>69</v>
      </c>
      <c r="C20" s="21" t="s">
        <v>210</v>
      </c>
      <c r="D20" s="21" t="s">
        <v>30</v>
      </c>
      <c r="E20" s="22" t="s">
        <v>70</v>
      </c>
      <c r="F20" s="22" t="s">
        <v>71</v>
      </c>
      <c r="G20" s="21" t="s">
        <v>30</v>
      </c>
      <c r="H20" s="22" t="s">
        <v>20</v>
      </c>
    </row>
    <row r="21" spans="1:8" ht="34.049999999999997" customHeight="1" x14ac:dyDescent="0.3">
      <c r="A21" s="5">
        <v>18</v>
      </c>
      <c r="B21" s="5" t="s">
        <v>72</v>
      </c>
      <c r="C21" s="6" t="s">
        <v>211</v>
      </c>
      <c r="D21" s="6" t="s">
        <v>73</v>
      </c>
      <c r="E21" s="7" t="s">
        <v>49</v>
      </c>
      <c r="F21" s="7" t="s">
        <v>74</v>
      </c>
      <c r="G21" s="6" t="s">
        <v>44</v>
      </c>
      <c r="H21" s="7" t="s">
        <v>20</v>
      </c>
    </row>
    <row r="22" spans="1:8" ht="34.049999999999997" customHeight="1" x14ac:dyDescent="0.3">
      <c r="A22" s="11">
        <v>19</v>
      </c>
      <c r="B22" s="11" t="s">
        <v>75</v>
      </c>
      <c r="C22" s="12" t="s">
        <v>212</v>
      </c>
      <c r="D22" s="12" t="s">
        <v>73</v>
      </c>
      <c r="E22" s="13" t="s">
        <v>49</v>
      </c>
      <c r="F22" s="13" t="s">
        <v>76</v>
      </c>
      <c r="G22" s="12" t="s">
        <v>44</v>
      </c>
      <c r="H22" s="13" t="s">
        <v>20</v>
      </c>
    </row>
    <row r="23" spans="1:8" ht="34.049999999999997" customHeight="1" x14ac:dyDescent="0.3">
      <c r="A23" s="5">
        <v>20</v>
      </c>
      <c r="B23" s="5" t="s">
        <v>77</v>
      </c>
      <c r="C23" s="6" t="s">
        <v>78</v>
      </c>
      <c r="D23" s="6" t="s">
        <v>73</v>
      </c>
      <c r="E23" s="7" t="s">
        <v>49</v>
      </c>
      <c r="F23" s="7" t="s">
        <v>79</v>
      </c>
      <c r="G23" s="6" t="s">
        <v>44</v>
      </c>
      <c r="H23" s="7" t="s">
        <v>20</v>
      </c>
    </row>
    <row r="24" spans="1:8" ht="34.049999999999997" customHeight="1" x14ac:dyDescent="0.3">
      <c r="A24" s="14">
        <v>21</v>
      </c>
      <c r="B24" s="14" t="s">
        <v>80</v>
      </c>
      <c r="C24" s="15" t="s">
        <v>81</v>
      </c>
      <c r="D24" s="15" t="s">
        <v>48</v>
      </c>
      <c r="E24" s="16" t="s">
        <v>82</v>
      </c>
      <c r="F24" s="16" t="s">
        <v>83</v>
      </c>
      <c r="G24" s="15" t="s">
        <v>51</v>
      </c>
      <c r="H24" s="16" t="s">
        <v>20</v>
      </c>
    </row>
    <row r="25" spans="1:8" ht="34.049999999999997" customHeight="1" x14ac:dyDescent="0.3">
      <c r="A25" s="5">
        <v>22</v>
      </c>
      <c r="B25" s="5" t="s">
        <v>84</v>
      </c>
      <c r="C25" s="6" t="s">
        <v>85</v>
      </c>
      <c r="D25" s="6" t="s">
        <v>86</v>
      </c>
      <c r="E25" s="7" t="s">
        <v>38</v>
      </c>
      <c r="F25" s="7" t="s">
        <v>87</v>
      </c>
      <c r="G25" s="6" t="s">
        <v>86</v>
      </c>
      <c r="H25" s="7" t="s">
        <v>13</v>
      </c>
    </row>
    <row r="26" spans="1:8" ht="34.049999999999997" customHeight="1" x14ac:dyDescent="0.3">
      <c r="A26" s="23">
        <v>23</v>
      </c>
      <c r="B26" s="23" t="s">
        <v>88</v>
      </c>
      <c r="C26" s="24" t="s">
        <v>89</v>
      </c>
      <c r="D26" s="24" t="s">
        <v>86</v>
      </c>
      <c r="E26" s="25" t="s">
        <v>10</v>
      </c>
      <c r="F26" s="25" t="s">
        <v>90</v>
      </c>
      <c r="G26" s="24" t="s">
        <v>86</v>
      </c>
      <c r="H26" s="25" t="s">
        <v>91</v>
      </c>
    </row>
    <row r="27" spans="1:8" ht="34.049999999999997" customHeight="1" x14ac:dyDescent="0.3">
      <c r="A27" s="5">
        <v>24</v>
      </c>
      <c r="B27" s="5" t="s">
        <v>92</v>
      </c>
      <c r="C27" s="6" t="s">
        <v>93</v>
      </c>
      <c r="D27" s="6" t="s">
        <v>86</v>
      </c>
      <c r="E27" s="7" t="s">
        <v>94</v>
      </c>
      <c r="F27" s="7" t="s">
        <v>95</v>
      </c>
      <c r="G27" s="6" t="s">
        <v>86</v>
      </c>
      <c r="H27" s="7" t="s">
        <v>13</v>
      </c>
    </row>
    <row r="28" spans="1:8" ht="34.049999999999997" customHeight="1" x14ac:dyDescent="0.3">
      <c r="A28" s="23">
        <v>25</v>
      </c>
      <c r="B28" s="23" t="s">
        <v>96</v>
      </c>
      <c r="C28" s="24" t="s">
        <v>97</v>
      </c>
      <c r="D28" s="24" t="s">
        <v>86</v>
      </c>
      <c r="E28" s="25" t="s">
        <v>94</v>
      </c>
      <c r="F28" s="25" t="s">
        <v>98</v>
      </c>
      <c r="G28" s="24" t="s">
        <v>86</v>
      </c>
      <c r="H28" s="25" t="s">
        <v>13</v>
      </c>
    </row>
    <row r="29" spans="1:8" ht="34.049999999999997" customHeight="1" x14ac:dyDescent="0.3">
      <c r="A29" s="5">
        <v>26</v>
      </c>
      <c r="B29" s="5" t="s">
        <v>99</v>
      </c>
      <c r="C29" s="6" t="s">
        <v>100</v>
      </c>
      <c r="D29" s="6" t="s">
        <v>86</v>
      </c>
      <c r="E29" s="7" t="s">
        <v>94</v>
      </c>
      <c r="F29" s="7" t="s">
        <v>101</v>
      </c>
      <c r="G29" s="6" t="s">
        <v>86</v>
      </c>
      <c r="H29" s="7" t="s">
        <v>13</v>
      </c>
    </row>
    <row r="30" spans="1:8" ht="34.049999999999997" customHeight="1" x14ac:dyDescent="0.3">
      <c r="A30" s="23">
        <v>27</v>
      </c>
      <c r="B30" s="23" t="s">
        <v>102</v>
      </c>
      <c r="C30" s="24" t="s">
        <v>103</v>
      </c>
      <c r="D30" s="24" t="s">
        <v>86</v>
      </c>
      <c r="E30" s="25" t="s">
        <v>94</v>
      </c>
      <c r="F30" s="25" t="s">
        <v>104</v>
      </c>
      <c r="G30" s="24" t="s">
        <v>86</v>
      </c>
      <c r="H30" s="25" t="s">
        <v>13</v>
      </c>
    </row>
    <row r="31" spans="1:8" ht="34.049999999999997" customHeight="1" x14ac:dyDescent="0.3">
      <c r="A31" s="5">
        <v>28</v>
      </c>
      <c r="B31" s="5" t="s">
        <v>105</v>
      </c>
      <c r="C31" s="6" t="s">
        <v>106</v>
      </c>
      <c r="D31" s="6" t="s">
        <v>86</v>
      </c>
      <c r="E31" s="7" t="s">
        <v>94</v>
      </c>
      <c r="F31" s="7" t="s">
        <v>101</v>
      </c>
      <c r="G31" s="6" t="s">
        <v>86</v>
      </c>
      <c r="H31" s="7" t="s">
        <v>13</v>
      </c>
    </row>
    <row r="32" spans="1:8" ht="34.049999999999997" customHeight="1" x14ac:dyDescent="0.3">
      <c r="A32" s="23">
        <v>29</v>
      </c>
      <c r="B32" s="23" t="s">
        <v>107</v>
      </c>
      <c r="C32" s="24" t="s">
        <v>213</v>
      </c>
      <c r="D32" s="24" t="s">
        <v>86</v>
      </c>
      <c r="E32" s="25" t="s">
        <v>108</v>
      </c>
      <c r="F32" s="25" t="s">
        <v>11</v>
      </c>
      <c r="G32" s="24" t="s">
        <v>86</v>
      </c>
      <c r="H32" s="25" t="s">
        <v>13</v>
      </c>
    </row>
    <row r="33" spans="1:8" ht="34.049999999999997" customHeight="1" x14ac:dyDescent="0.3">
      <c r="A33" s="5">
        <v>30</v>
      </c>
      <c r="B33" s="5" t="s">
        <v>109</v>
      </c>
      <c r="C33" s="6" t="s">
        <v>214</v>
      </c>
      <c r="D33" s="6" t="s">
        <v>61</v>
      </c>
      <c r="E33" s="7" t="s">
        <v>49</v>
      </c>
      <c r="F33" s="7" t="s">
        <v>11</v>
      </c>
      <c r="G33" s="6" t="s">
        <v>61</v>
      </c>
      <c r="H33" s="7" t="s">
        <v>13</v>
      </c>
    </row>
    <row r="34" spans="1:8" ht="34.049999999999997" customHeight="1" x14ac:dyDescent="0.3">
      <c r="A34" s="17">
        <v>31</v>
      </c>
      <c r="B34" s="17" t="s">
        <v>110</v>
      </c>
      <c r="C34" s="18" t="s">
        <v>215</v>
      </c>
      <c r="D34" s="18" t="s">
        <v>61</v>
      </c>
      <c r="E34" s="19" t="s">
        <v>49</v>
      </c>
      <c r="F34" s="19" t="s">
        <v>11</v>
      </c>
      <c r="G34" s="18" t="s">
        <v>61</v>
      </c>
      <c r="H34" s="19" t="s">
        <v>13</v>
      </c>
    </row>
    <row r="35" spans="1:8" ht="34.049999999999997" customHeight="1" x14ac:dyDescent="0.3">
      <c r="A35" s="5">
        <v>32</v>
      </c>
      <c r="B35" s="5" t="s">
        <v>111</v>
      </c>
      <c r="C35" s="6" t="s">
        <v>216</v>
      </c>
      <c r="D35" s="6" t="s">
        <v>61</v>
      </c>
      <c r="E35" s="7" t="s">
        <v>49</v>
      </c>
      <c r="F35" s="7" t="s">
        <v>11</v>
      </c>
      <c r="G35" s="6" t="s">
        <v>61</v>
      </c>
      <c r="H35" s="7" t="s">
        <v>13</v>
      </c>
    </row>
    <row r="36" spans="1:8" ht="34.049999999999997" customHeight="1" x14ac:dyDescent="0.3">
      <c r="A36" s="17">
        <v>33</v>
      </c>
      <c r="B36" s="17" t="s">
        <v>112</v>
      </c>
      <c r="C36" s="18" t="s">
        <v>217</v>
      </c>
      <c r="D36" s="18" t="s">
        <v>113</v>
      </c>
      <c r="E36" s="19" t="s">
        <v>49</v>
      </c>
      <c r="F36" s="19" t="s">
        <v>11</v>
      </c>
      <c r="G36" s="18" t="s">
        <v>61</v>
      </c>
      <c r="H36" s="19" t="s">
        <v>13</v>
      </c>
    </row>
    <row r="37" spans="1:8" ht="34.049999999999997" customHeight="1" x14ac:dyDescent="0.3">
      <c r="A37" s="5">
        <v>34</v>
      </c>
      <c r="B37" s="5" t="s">
        <v>114</v>
      </c>
      <c r="C37" s="6" t="s">
        <v>218</v>
      </c>
      <c r="D37" s="6" t="s">
        <v>61</v>
      </c>
      <c r="E37" s="7" t="s">
        <v>49</v>
      </c>
      <c r="F37" s="7" t="s">
        <v>11</v>
      </c>
      <c r="G37" s="6" t="s">
        <v>61</v>
      </c>
      <c r="H37" s="7" t="s">
        <v>115</v>
      </c>
    </row>
    <row r="38" spans="1:8" ht="34.049999999999997" customHeight="1" x14ac:dyDescent="0.3">
      <c r="A38" s="17">
        <v>35</v>
      </c>
      <c r="B38" s="17" t="s">
        <v>116</v>
      </c>
      <c r="C38" s="18" t="s">
        <v>219</v>
      </c>
      <c r="D38" s="18" t="s">
        <v>61</v>
      </c>
      <c r="E38" s="19" t="s">
        <v>70</v>
      </c>
      <c r="F38" s="19" t="s">
        <v>117</v>
      </c>
      <c r="G38" s="18" t="s">
        <v>61</v>
      </c>
      <c r="H38" s="19" t="s">
        <v>13</v>
      </c>
    </row>
    <row r="39" spans="1:8" ht="34.049999999999997" customHeight="1" x14ac:dyDescent="0.3">
      <c r="A39" s="5">
        <v>36</v>
      </c>
      <c r="B39" s="5" t="s">
        <v>118</v>
      </c>
      <c r="C39" s="6" t="s">
        <v>220</v>
      </c>
      <c r="D39" s="6" t="s">
        <v>61</v>
      </c>
      <c r="E39" s="7" t="s">
        <v>49</v>
      </c>
      <c r="F39" s="7" t="s">
        <v>11</v>
      </c>
      <c r="G39" s="6" t="s">
        <v>61</v>
      </c>
      <c r="H39" s="7" t="s">
        <v>13</v>
      </c>
    </row>
    <row r="40" spans="1:8" ht="34.049999999999997" customHeight="1" x14ac:dyDescent="0.3">
      <c r="A40" s="17">
        <v>37</v>
      </c>
      <c r="B40" s="17" t="s">
        <v>119</v>
      </c>
      <c r="C40" s="18" t="s">
        <v>221</v>
      </c>
      <c r="D40" s="18" t="s">
        <v>61</v>
      </c>
      <c r="E40" s="19" t="s">
        <v>49</v>
      </c>
      <c r="F40" s="19" t="s">
        <v>11</v>
      </c>
      <c r="G40" s="18" t="s">
        <v>61</v>
      </c>
      <c r="H40" s="19" t="s">
        <v>13</v>
      </c>
    </row>
    <row r="41" spans="1:8" ht="34.049999999999997" customHeight="1" x14ac:dyDescent="0.3">
      <c r="A41" s="5">
        <v>38</v>
      </c>
      <c r="B41" s="5" t="s">
        <v>120</v>
      </c>
      <c r="C41" s="6" t="s">
        <v>222</v>
      </c>
      <c r="D41" s="6" t="s">
        <v>48</v>
      </c>
      <c r="E41" s="7" t="s">
        <v>121</v>
      </c>
      <c r="F41" s="7"/>
      <c r="G41" s="6" t="s">
        <v>24</v>
      </c>
      <c r="H41" s="7" t="s">
        <v>13</v>
      </c>
    </row>
    <row r="42" spans="1:8" ht="34.049999999999997" customHeight="1" x14ac:dyDescent="0.3">
      <c r="A42" s="26">
        <v>39</v>
      </c>
      <c r="B42" s="26" t="s">
        <v>122</v>
      </c>
      <c r="C42" s="27" t="s">
        <v>123</v>
      </c>
      <c r="D42" s="27" t="s">
        <v>48</v>
      </c>
      <c r="E42" s="28" t="s">
        <v>70</v>
      </c>
      <c r="F42" s="28"/>
      <c r="G42" s="27" t="s">
        <v>24</v>
      </c>
      <c r="H42" s="28" t="s">
        <v>13</v>
      </c>
    </row>
    <row r="43" spans="1:8" ht="34.049999999999997" customHeight="1" x14ac:dyDescent="0.3">
      <c r="A43" s="5">
        <v>40</v>
      </c>
      <c r="B43" s="5" t="s">
        <v>124</v>
      </c>
      <c r="C43" s="6" t="s">
        <v>125</v>
      </c>
      <c r="D43" s="6" t="s">
        <v>48</v>
      </c>
      <c r="E43" s="7" t="s">
        <v>49</v>
      </c>
      <c r="F43" s="7"/>
      <c r="G43" s="6" t="s">
        <v>51</v>
      </c>
      <c r="H43" s="7" t="s">
        <v>52</v>
      </c>
    </row>
    <row r="44" spans="1:8" ht="34.049999999999997" customHeight="1" x14ac:dyDescent="0.3">
      <c r="A44" s="14">
        <v>41</v>
      </c>
      <c r="B44" s="14" t="s">
        <v>126</v>
      </c>
      <c r="C44" s="15" t="s">
        <v>127</v>
      </c>
      <c r="D44" s="15" t="s">
        <v>48</v>
      </c>
      <c r="E44" s="16" t="s">
        <v>70</v>
      </c>
      <c r="F44" s="16"/>
      <c r="G44" s="15" t="s">
        <v>51</v>
      </c>
      <c r="H44" s="16" t="s">
        <v>13</v>
      </c>
    </row>
    <row r="45" spans="1:8" ht="34.049999999999997" customHeight="1" x14ac:dyDescent="0.3">
      <c r="A45" s="5">
        <v>42</v>
      </c>
      <c r="B45" s="5" t="s">
        <v>128</v>
      </c>
      <c r="C45" s="6" t="s">
        <v>129</v>
      </c>
      <c r="D45" s="6" t="s">
        <v>48</v>
      </c>
      <c r="E45" s="7" t="s">
        <v>70</v>
      </c>
      <c r="F45" s="7"/>
      <c r="G45" s="6" t="s">
        <v>51</v>
      </c>
      <c r="H45" s="7" t="s">
        <v>13</v>
      </c>
    </row>
    <row r="46" spans="1:8" ht="34.049999999999997" customHeight="1" x14ac:dyDescent="0.3">
      <c r="A46" s="14">
        <v>43</v>
      </c>
      <c r="B46" s="14" t="s">
        <v>130</v>
      </c>
      <c r="C46" s="15" t="s">
        <v>131</v>
      </c>
      <c r="D46" s="15" t="s">
        <v>48</v>
      </c>
      <c r="E46" s="16" t="s">
        <v>70</v>
      </c>
      <c r="F46" s="16"/>
      <c r="G46" s="15" t="s">
        <v>51</v>
      </c>
      <c r="H46" s="16" t="s">
        <v>13</v>
      </c>
    </row>
    <row r="47" spans="1:8" ht="34.049999999999997" customHeight="1" x14ac:dyDescent="0.3">
      <c r="A47" s="5">
        <v>44</v>
      </c>
      <c r="B47" s="5" t="s">
        <v>132</v>
      </c>
      <c r="C47" s="6" t="s">
        <v>223</v>
      </c>
      <c r="D47" s="6" t="s">
        <v>48</v>
      </c>
      <c r="E47" s="7" t="s">
        <v>70</v>
      </c>
      <c r="F47" s="7"/>
      <c r="G47" s="6" t="s">
        <v>51</v>
      </c>
      <c r="H47" s="7" t="s">
        <v>13</v>
      </c>
    </row>
    <row r="48" spans="1:8" ht="34.049999999999997" customHeight="1" x14ac:dyDescent="0.3">
      <c r="A48" s="14">
        <v>45</v>
      </c>
      <c r="B48" s="14" t="s">
        <v>133</v>
      </c>
      <c r="C48" s="15" t="s">
        <v>134</v>
      </c>
      <c r="D48" s="15" t="s">
        <v>48</v>
      </c>
      <c r="E48" s="16" t="s">
        <v>135</v>
      </c>
      <c r="F48" s="16" t="s">
        <v>136</v>
      </c>
      <c r="G48" s="15" t="s">
        <v>51</v>
      </c>
      <c r="H48" s="16" t="s">
        <v>20</v>
      </c>
    </row>
    <row r="49" spans="1:8" ht="34.049999999999997" customHeight="1" x14ac:dyDescent="0.3">
      <c r="A49" s="5">
        <v>46</v>
      </c>
      <c r="B49" s="5" t="s">
        <v>137</v>
      </c>
      <c r="C49" s="6" t="s">
        <v>138</v>
      </c>
      <c r="D49" s="6" t="s">
        <v>139</v>
      </c>
      <c r="E49" s="7" t="s">
        <v>140</v>
      </c>
      <c r="F49" s="7" t="s">
        <v>141</v>
      </c>
      <c r="G49" s="6" t="s">
        <v>142</v>
      </c>
      <c r="H49" s="7" t="s">
        <v>115</v>
      </c>
    </row>
    <row r="50" spans="1:8" ht="34.049999999999997" customHeight="1" x14ac:dyDescent="0.3">
      <c r="A50" s="29">
        <v>47</v>
      </c>
      <c r="B50" s="29" t="s">
        <v>143</v>
      </c>
      <c r="C50" s="30" t="s">
        <v>144</v>
      </c>
      <c r="D50" s="30" t="s">
        <v>139</v>
      </c>
      <c r="E50" s="31" t="s">
        <v>38</v>
      </c>
      <c r="F50" s="31" t="s">
        <v>141</v>
      </c>
      <c r="G50" s="30" t="s">
        <v>142</v>
      </c>
      <c r="H50" s="31" t="s">
        <v>115</v>
      </c>
    </row>
    <row r="51" spans="1:8" ht="34.049999999999997" customHeight="1" x14ac:dyDescent="0.3">
      <c r="A51" s="5">
        <v>48</v>
      </c>
      <c r="B51" s="5" t="s">
        <v>145</v>
      </c>
      <c r="C51" s="6" t="s">
        <v>146</v>
      </c>
      <c r="D51" s="6" t="s">
        <v>139</v>
      </c>
      <c r="E51" s="7" t="s">
        <v>38</v>
      </c>
      <c r="F51" s="7" t="s">
        <v>147</v>
      </c>
      <c r="G51" s="6" t="s">
        <v>142</v>
      </c>
      <c r="H51" s="7" t="s">
        <v>115</v>
      </c>
    </row>
    <row r="52" spans="1:8" ht="34.049999999999997" customHeight="1" x14ac:dyDescent="0.3">
      <c r="A52" s="29">
        <v>49</v>
      </c>
      <c r="B52" s="29" t="s">
        <v>148</v>
      </c>
      <c r="C52" s="30" t="s">
        <v>149</v>
      </c>
      <c r="D52" s="30" t="s">
        <v>139</v>
      </c>
      <c r="E52" s="31" t="s">
        <v>140</v>
      </c>
      <c r="F52" s="31" t="s">
        <v>147</v>
      </c>
      <c r="G52" s="30" t="s">
        <v>142</v>
      </c>
      <c r="H52" s="31" t="s">
        <v>115</v>
      </c>
    </row>
    <row r="53" spans="1:8" ht="34.049999999999997" customHeight="1" x14ac:dyDescent="0.3">
      <c r="A53" s="5">
        <v>50</v>
      </c>
      <c r="B53" s="5" t="s">
        <v>150</v>
      </c>
      <c r="C53" s="6" t="s">
        <v>151</v>
      </c>
      <c r="D53" s="6" t="s">
        <v>139</v>
      </c>
      <c r="E53" s="7" t="s">
        <v>140</v>
      </c>
      <c r="F53" s="7" t="s">
        <v>152</v>
      </c>
      <c r="G53" s="6" t="s">
        <v>142</v>
      </c>
      <c r="H53" s="7" t="s">
        <v>115</v>
      </c>
    </row>
    <row r="54" spans="1:8" ht="34.049999999999997" customHeight="1" x14ac:dyDescent="0.3">
      <c r="A54" s="29">
        <v>51</v>
      </c>
      <c r="B54" s="29" t="s">
        <v>153</v>
      </c>
      <c r="C54" s="30" t="s">
        <v>154</v>
      </c>
      <c r="D54" s="30" t="s">
        <v>139</v>
      </c>
      <c r="E54" s="31" t="s">
        <v>140</v>
      </c>
      <c r="F54" s="31" t="s">
        <v>141</v>
      </c>
      <c r="G54" s="30" t="s">
        <v>142</v>
      </c>
      <c r="H54" s="31" t="s">
        <v>115</v>
      </c>
    </row>
    <row r="55" spans="1:8" ht="34.049999999999997" customHeight="1" x14ac:dyDescent="0.3">
      <c r="A55" s="5">
        <v>52</v>
      </c>
      <c r="B55" s="5" t="s">
        <v>155</v>
      </c>
      <c r="C55" s="6" t="s">
        <v>156</v>
      </c>
      <c r="D55" s="6" t="s">
        <v>139</v>
      </c>
      <c r="E55" s="7" t="s">
        <v>38</v>
      </c>
      <c r="F55" s="7" t="s">
        <v>157</v>
      </c>
      <c r="G55" s="6" t="s">
        <v>142</v>
      </c>
      <c r="H55" s="7" t="s">
        <v>115</v>
      </c>
    </row>
    <row r="56" spans="1:8" ht="34.049999999999997" customHeight="1" x14ac:dyDescent="0.3">
      <c r="A56" s="29">
        <v>53</v>
      </c>
      <c r="B56" s="29" t="s">
        <v>158</v>
      </c>
      <c r="C56" s="30" t="s">
        <v>159</v>
      </c>
      <c r="D56" s="30" t="s">
        <v>139</v>
      </c>
      <c r="E56" s="31" t="s">
        <v>38</v>
      </c>
      <c r="F56" s="31"/>
      <c r="G56" s="30" t="s">
        <v>142</v>
      </c>
      <c r="H56" s="31" t="s">
        <v>115</v>
      </c>
    </row>
  </sheetData>
  <autoFilter ref="A3:H56" xr:uid="{00000000-0009-0000-0000-000000000000}"/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"/>
  <sheetViews>
    <sheetView workbookViewId="0"/>
  </sheetViews>
  <sheetFormatPr defaultRowHeight="14.4" x14ac:dyDescent="0.3"/>
  <cols>
    <col min="1" max="1" width="16" customWidth="1"/>
    <col min="2" max="2" width="52" customWidth="1"/>
    <col min="3" max="3" width="24" customWidth="1"/>
    <col min="4" max="4" width="45" customWidth="1"/>
    <col min="5" max="5" width="20" customWidth="1"/>
  </cols>
  <sheetData>
    <row r="1" spans="1:5" ht="25.95" customHeight="1" x14ac:dyDescent="0.3">
      <c r="A1" s="48" t="s">
        <v>160</v>
      </c>
      <c r="B1" s="46"/>
      <c r="C1" s="46"/>
      <c r="D1" s="46"/>
      <c r="E1" s="46"/>
    </row>
    <row r="2" spans="1:5" ht="24" customHeight="1" x14ac:dyDescent="0.3">
      <c r="A2" s="32" t="s">
        <v>161</v>
      </c>
      <c r="B2" s="32" t="s">
        <v>2</v>
      </c>
      <c r="C2" s="32" t="s">
        <v>162</v>
      </c>
      <c r="D2" s="32" t="s">
        <v>163</v>
      </c>
      <c r="E2" s="32" t="s">
        <v>164</v>
      </c>
    </row>
    <row r="3" spans="1:5" ht="36" customHeight="1" x14ac:dyDescent="0.3">
      <c r="A3" s="33" t="s">
        <v>165</v>
      </c>
      <c r="B3" s="34" t="s">
        <v>66</v>
      </c>
      <c r="C3" s="33" t="s">
        <v>61</v>
      </c>
      <c r="D3" s="34" t="s">
        <v>166</v>
      </c>
      <c r="E3" s="33" t="s">
        <v>65</v>
      </c>
    </row>
    <row r="4" spans="1:5" ht="36" customHeight="1" x14ac:dyDescent="0.3">
      <c r="A4" s="7" t="s">
        <v>167</v>
      </c>
      <c r="B4" s="6" t="s">
        <v>68</v>
      </c>
      <c r="C4" s="7" t="s">
        <v>61</v>
      </c>
      <c r="D4" s="6" t="s">
        <v>168</v>
      </c>
      <c r="E4" s="7" t="s">
        <v>67</v>
      </c>
    </row>
    <row r="5" spans="1:5" ht="36" customHeight="1" x14ac:dyDescent="0.3">
      <c r="A5" s="33" t="s">
        <v>169</v>
      </c>
      <c r="B5" s="34" t="s">
        <v>47</v>
      </c>
      <c r="C5" s="33" t="s">
        <v>48</v>
      </c>
      <c r="D5" s="34" t="s">
        <v>170</v>
      </c>
      <c r="E5" s="33" t="s">
        <v>46</v>
      </c>
    </row>
    <row r="6" spans="1:5" ht="36" customHeight="1" x14ac:dyDescent="0.3">
      <c r="A6" s="7" t="s">
        <v>171</v>
      </c>
      <c r="B6" s="6" t="s">
        <v>81</v>
      </c>
      <c r="C6" s="7" t="s">
        <v>48</v>
      </c>
      <c r="D6" s="6" t="s">
        <v>172</v>
      </c>
      <c r="E6" s="7" t="s">
        <v>80</v>
      </c>
    </row>
    <row r="7" spans="1:5" ht="36" customHeight="1" x14ac:dyDescent="0.3">
      <c r="A7" s="33" t="s">
        <v>173</v>
      </c>
      <c r="B7" s="34" t="s">
        <v>174</v>
      </c>
      <c r="C7" s="33" t="s">
        <v>175</v>
      </c>
      <c r="D7" s="34" t="s">
        <v>176</v>
      </c>
      <c r="E7" s="33" t="s">
        <v>177</v>
      </c>
    </row>
    <row r="8" spans="1:5" ht="36" customHeight="1" x14ac:dyDescent="0.3">
      <c r="A8" s="7" t="s">
        <v>178</v>
      </c>
      <c r="B8" s="6" t="s">
        <v>179</v>
      </c>
      <c r="C8" s="7" t="s">
        <v>175</v>
      </c>
      <c r="D8" s="6" t="s">
        <v>176</v>
      </c>
      <c r="E8" s="7" t="s">
        <v>177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2"/>
  <sheetViews>
    <sheetView workbookViewId="0"/>
  </sheetViews>
  <sheetFormatPr defaultRowHeight="14.4" x14ac:dyDescent="0.3"/>
  <cols>
    <col min="1" max="1" width="26" customWidth="1"/>
    <col min="2" max="2" width="12" customWidth="1"/>
    <col min="3" max="3" width="35" customWidth="1"/>
    <col min="4" max="4" width="60" customWidth="1"/>
  </cols>
  <sheetData>
    <row r="1" spans="1:4" ht="25.95" customHeight="1" x14ac:dyDescent="0.3">
      <c r="A1" s="49" t="s">
        <v>180</v>
      </c>
      <c r="B1" s="46"/>
      <c r="C1" s="46"/>
      <c r="D1" s="46"/>
    </row>
    <row r="2" spans="1:4" ht="24" customHeight="1" x14ac:dyDescent="0.3">
      <c r="A2" s="1" t="s">
        <v>6</v>
      </c>
      <c r="B2" s="1" t="s">
        <v>181</v>
      </c>
      <c r="C2" s="1" t="s">
        <v>182</v>
      </c>
      <c r="D2" s="1" t="s">
        <v>183</v>
      </c>
    </row>
    <row r="3" spans="1:4" ht="22.05" customHeight="1" x14ac:dyDescent="0.3">
      <c r="A3" s="35" t="s">
        <v>61</v>
      </c>
      <c r="B3" s="19">
        <v>11</v>
      </c>
      <c r="C3" s="18" t="s">
        <v>184</v>
      </c>
      <c r="D3" s="18" t="s">
        <v>185</v>
      </c>
    </row>
    <row r="4" spans="1:4" ht="22.05" customHeight="1" x14ac:dyDescent="0.3">
      <c r="A4" s="36" t="s">
        <v>51</v>
      </c>
      <c r="B4" s="16">
        <v>8</v>
      </c>
      <c r="C4" s="15" t="s">
        <v>48</v>
      </c>
      <c r="D4" s="15" t="s">
        <v>186</v>
      </c>
    </row>
    <row r="5" spans="1:4" ht="22.05" customHeight="1" x14ac:dyDescent="0.3">
      <c r="A5" s="37" t="s">
        <v>86</v>
      </c>
      <c r="B5" s="25">
        <v>8</v>
      </c>
      <c r="C5" s="24" t="s">
        <v>187</v>
      </c>
      <c r="D5" s="24" t="s">
        <v>188</v>
      </c>
    </row>
    <row r="6" spans="1:4" ht="22.05" customHeight="1" x14ac:dyDescent="0.3">
      <c r="A6" s="38" t="s">
        <v>142</v>
      </c>
      <c r="B6" s="31">
        <v>8</v>
      </c>
      <c r="C6" s="30" t="s">
        <v>139</v>
      </c>
      <c r="D6" s="30" t="s">
        <v>189</v>
      </c>
    </row>
    <row r="7" spans="1:4" ht="22.05" customHeight="1" x14ac:dyDescent="0.3">
      <c r="A7" s="39" t="s">
        <v>12</v>
      </c>
      <c r="B7" s="4">
        <v>5</v>
      </c>
      <c r="C7" s="3" t="s">
        <v>190</v>
      </c>
      <c r="D7" s="3" t="s">
        <v>191</v>
      </c>
    </row>
    <row r="8" spans="1:4" ht="22.05" customHeight="1" x14ac:dyDescent="0.3">
      <c r="A8" s="40" t="s">
        <v>30</v>
      </c>
      <c r="B8" s="22">
        <v>5</v>
      </c>
      <c r="C8" s="21" t="s">
        <v>192</v>
      </c>
      <c r="D8" s="21" t="s">
        <v>193</v>
      </c>
    </row>
    <row r="9" spans="1:4" ht="22.05" customHeight="1" x14ac:dyDescent="0.3">
      <c r="A9" s="41" t="s">
        <v>24</v>
      </c>
      <c r="B9" s="28">
        <v>3</v>
      </c>
      <c r="C9" s="27" t="s">
        <v>194</v>
      </c>
      <c r="D9" s="27" t="s">
        <v>195</v>
      </c>
    </row>
    <row r="10" spans="1:4" ht="22.05" customHeight="1" x14ac:dyDescent="0.3">
      <c r="A10" s="42" t="s">
        <v>44</v>
      </c>
      <c r="B10" s="13">
        <v>4</v>
      </c>
      <c r="C10" s="12" t="s">
        <v>196</v>
      </c>
      <c r="D10" s="12" t="s">
        <v>197</v>
      </c>
    </row>
    <row r="11" spans="1:4" ht="22.05" customHeight="1" x14ac:dyDescent="0.3">
      <c r="A11" s="43" t="s">
        <v>34</v>
      </c>
      <c r="B11" s="10">
        <v>1</v>
      </c>
      <c r="C11" s="9" t="s">
        <v>198</v>
      </c>
      <c r="D11" s="9" t="s">
        <v>33</v>
      </c>
    </row>
    <row r="12" spans="1:4" ht="24" customHeight="1" x14ac:dyDescent="0.3">
      <c r="A12" s="44" t="s">
        <v>199</v>
      </c>
      <c r="B12" s="44">
        <f>SUM(B3:B11)</f>
        <v>53</v>
      </c>
      <c r="C12" s="44"/>
      <c r="D12" s="44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53 Chỉ số chất lượng</vt:lpstr>
      <vt:lpstr>Chỉ số bị loại (6)</vt:lpstr>
      <vt:lpstr>Thống kê theo nhóm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Tiến Lê</cp:lastModifiedBy>
  <dcterms:created xsi:type="dcterms:W3CDTF">2026-06-03T10:19:03Z</dcterms:created>
  <dcterms:modified xsi:type="dcterms:W3CDTF">2026-06-03T12:25:35Z</dcterms:modified>
</cp:coreProperties>
</file>